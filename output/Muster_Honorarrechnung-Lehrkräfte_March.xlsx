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18.03.2026</t>
        </is>
      </c>
      <c r="B46" s="17" t="n">
        <v>0.75</v>
      </c>
      <c r="C46" s="15" t="inlineStr">
        <is>
          <t>Vorbereitung für Unterricht: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19.03.2026</t>
        </is>
      </c>
      <c r="B47" s="17" t="n">
        <v>3</v>
      </c>
      <c r="C47" s="15" t="inlineStr">
        <is>
          <t>Unterricht ASA 8</t>
        </is>
      </c>
      <c r="D47" s="16" t="n">
        <v>19</v>
      </c>
      <c r="E47" s="37">
        <f>ROUND(B47*$D$32,2)</f>
        <v/>
      </c>
    </row>
    <row r="48">
      <c r="A48" s="44" t="inlineStr">
        <is>
          <t>19.03.2026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20.03.2026</t>
        </is>
      </c>
      <c r="B49" s="21" t="n">
        <v>3</v>
      </c>
      <c r="C49" s="22" t="inlineStr">
        <is>
          <t>Unterricht ASA 8 Vertretung</t>
        </is>
      </c>
      <c r="D49" s="23" t="n">
        <v>19</v>
      </c>
      <c r="E49" s="37">
        <f>ROUND(B49*$D$32,2)</f>
        <v/>
      </c>
    </row>
    <row r="50">
      <c r="A50" s="44" t="inlineStr">
        <is>
          <t>23.03.2026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24.03.2026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25.03.2026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26.03.2026</t>
        </is>
      </c>
      <c r="B53" s="21" t="n">
        <v>3</v>
      </c>
      <c r="C53" s="22" t="inlineStr">
        <is>
          <t>Unterricht ASA 8</t>
        </is>
      </c>
      <c r="D53" s="23" t="n">
        <v>19</v>
      </c>
      <c r="E53" s="37">
        <f>ROUND(B53*$D$32,2)</f>
        <v/>
      </c>
    </row>
    <row r="54">
      <c r="A54" s="44" t="inlineStr">
        <is>
          <t>30.03.2026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31.03.2026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n"/>
      <c r="B56" s="21" t="n"/>
      <c r="C56" s="22" t="n"/>
      <c r="D56" s="23" t="n"/>
      <c r="E56" s="37">
        <f>ROUND(B56*$D$32,2)</f>
        <v/>
      </c>
    </row>
    <row r="57">
      <c r="A57" s="44" t="n"/>
      <c r="B57" s="21" t="n"/>
      <c r="C57" s="22" t="n"/>
      <c r="D57" s="23" t="n"/>
      <c r="E57" s="37">
        <f>ROUND(B57*$D$32,2)</f>
        <v/>
      </c>
    </row>
    <row r="58" ht="14.6" customFormat="1" customHeight="1" s="7" thickBot="1">
      <c r="A58" s="50" t="inlineStr">
        <is>
          <t>Gesamtbetrag</t>
        </is>
      </c>
      <c r="B58" s="56" t="n"/>
      <c r="C58" s="56" t="n"/>
      <c r="D58" s="24" t="n"/>
      <c r="E58" s="38">
        <f>SUM(E32:E57)</f>
        <v/>
      </c>
    </row>
    <row r="59" ht="14.25" customHeight="1" thickTop="1">
      <c r="B59" s="3" t="n"/>
      <c r="C59" s="6" t="n"/>
      <c r="D59" s="12" t="n"/>
      <c r="E59" s="13" t="n"/>
      <c r="F59" s="8" t="n"/>
      <c r="G59" s="8" t="n"/>
      <c r="H59" s="9" t="n"/>
      <c r="I59" s="9" t="n"/>
    </row>
    <row r="60" ht="14.25" customHeight="1">
      <c r="A60" s="2" t="inlineStr">
        <is>
          <t>Ich bitte um Überweisung des vorgenannten Rechnungsbetrages innerhalb von 14 Tagen.</t>
        </is>
      </c>
      <c r="B60" s="2" t="n"/>
      <c r="C60" s="14" t="n"/>
      <c r="D60" s="14" t="n"/>
      <c r="E60" s="2" t="n"/>
      <c r="F60" s="2" t="n"/>
      <c r="G60" s="2" t="n"/>
      <c r="H60" s="2" t="n"/>
    </row>
    <row r="61" ht="14.25" customHeight="1">
      <c r="A61" s="2" t="n"/>
      <c r="B61" s="2" t="n"/>
      <c r="C61" s="14" t="n"/>
      <c r="D61" s="14" t="n"/>
      <c r="E61" s="2" t="n"/>
      <c r="F61" s="2" t="n"/>
      <c r="G61" s="2" t="n"/>
      <c r="H61" s="2" t="n"/>
    </row>
    <row r="62">
      <c r="A62" s="1" t="inlineStr">
        <is>
          <t>Bank:</t>
        </is>
      </c>
      <c r="B62" s="20" t="n"/>
      <c r="C62" s="39" t="inlineStr">
        <is>
          <t>SumUp Limited</t>
        </is>
      </c>
      <c r="D62" s="3" t="n"/>
      <c r="E62" s="3" t="n"/>
      <c r="F62" s="3" t="n"/>
      <c r="G62" s="3" t="n"/>
      <c r="H62" s="3" t="n"/>
    </row>
    <row r="63">
      <c r="A63" s="1" t="inlineStr">
        <is>
          <t>IBAN:</t>
        </is>
      </c>
      <c r="B63" s="20" t="n"/>
      <c r="C63" s="40" t="inlineStr">
        <is>
          <t>IE66SUMU99036512650081</t>
        </is>
      </c>
      <c r="D63" s="12" t="n"/>
      <c r="E63" s="10" t="n"/>
      <c r="F63" s="6" t="n"/>
      <c r="G63" s="6" t="n"/>
      <c r="H63" s="3" t="n"/>
      <c r="I63" s="3" t="n"/>
    </row>
    <row r="64">
      <c r="A64" s="1" t="inlineStr">
        <is>
          <t>Kontoinhaber:in:</t>
        </is>
      </c>
      <c r="B64" s="3" t="n"/>
      <c r="C64" s="41" t="inlineStr">
        <is>
          <t>Dominik Ballentin</t>
        </is>
      </c>
      <c r="D64" s="12" t="n"/>
      <c r="E64" s="10" t="n"/>
      <c r="F64" s="6" t="n"/>
      <c r="G64" s="6" t="n"/>
      <c r="H64" s="3" t="n"/>
      <c r="I64" s="3" t="n"/>
    </row>
    <row r="65">
      <c r="B65" s="3" t="n"/>
      <c r="C65" s="6" t="n"/>
      <c r="D65" s="54" t="n"/>
      <c r="E65" s="57" t="n"/>
      <c r="F65" s="6" t="n"/>
      <c r="G65" s="6" t="n"/>
      <c r="H65" s="3" t="n"/>
      <c r="I65" s="3" t="n"/>
    </row>
    <row r="66">
      <c r="D66" s="53" t="inlineStr">
        <is>
          <t>Unterschrift Honorarkraft</t>
        </is>
      </c>
      <c r="F66" s="6" t="n"/>
      <c r="G66" s="6" t="n"/>
      <c r="H66" s="3" t="n"/>
      <c r="I66" s="3" t="n"/>
    </row>
    <row r="67">
      <c r="D67" s="53" t="n"/>
      <c r="E67" s="53" t="n"/>
      <c r="F67" s="6" t="n"/>
      <c r="G67" s="6" t="n"/>
      <c r="H67" s="3" t="n"/>
      <c r="I67" s="3" t="n"/>
    </row>
    <row r="68">
      <c r="D68" s="53" t="n"/>
      <c r="E68" s="53" t="n"/>
      <c r="F68" s="6" t="n"/>
      <c r="G68" s="6" t="n"/>
      <c r="H68" s="3" t="n"/>
      <c r="I68" s="3" t="n"/>
    </row>
    <row r="69">
      <c r="D69" s="53" t="n"/>
      <c r="E69" s="53" t="n"/>
      <c r="F69" s="6" t="n"/>
      <c r="G69" s="6" t="n"/>
      <c r="H69" s="3" t="n"/>
      <c r="I69" s="3" t="n"/>
    </row>
    <row r="70">
      <c r="B70" s="3" t="n"/>
      <c r="C70" s="6" t="n"/>
      <c r="D70" s="1" t="n"/>
      <c r="E70" s="12" t="n"/>
      <c r="F70" s="6" t="n"/>
      <c r="G70" s="6" t="n"/>
      <c r="H70" s="3" t="n"/>
      <c r="I70" s="3" t="n"/>
    </row>
    <row r="71">
      <c r="A71" s="32" t="n"/>
      <c r="B71" s="32" t="n"/>
      <c r="C71" s="11" t="n"/>
    </row>
    <row r="72">
      <c r="A72" s="34" t="inlineStr">
        <is>
          <t>sachlich und rechnerisch richtig</t>
        </is>
      </c>
      <c r="B72" s="34" t="n"/>
      <c r="C72" s="34" t="n"/>
    </row>
    <row r="73">
      <c r="A73" s="42" t="inlineStr">
        <is>
          <t>Unterschrift MA Pro Beruf GmbH</t>
        </is>
      </c>
    </row>
  </sheetData>
  <mergeCells count="7">
    <mergeCell ref="G24:I24"/>
    <mergeCell ref="A29:E29"/>
    <mergeCell ref="G10:I10"/>
    <mergeCell ref="G9:H9"/>
    <mergeCell ref="A58:C58"/>
    <mergeCell ref="D66:E66"/>
    <mergeCell ref="D65:E65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2026-03-08T01:56:00Z</dcterms:modified>
  <cp:lastModifiedBy>Dominik Ballentin</cp:lastModifiedBy>
  <cp:lastPrinted>2026-02-05T14:00:38Z</cp:lastPrinted>
</cp:coreProperties>
</file>