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480" windowWidth="29040" windowHeight="1692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7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tabSelected="1" topLeftCell="A44" zoomScaleNormal="100" zoomScaleSheetLayoutView="100" workbookViewId="0">
      <selection activeCell="E32" sqref="E32:E65"/>
    </sheetView>
  </sheetViews>
  <sheetFormatPr baseColWidth="10" defaultColWidth="11.42578125" defaultRowHeight="14.25" outlineLevelCol="0"/>
  <cols>
    <col width="15.140625" customWidth="1" style="1" min="1" max="1"/>
    <col width="20.7109375" customWidth="1" style="1" min="2" max="2"/>
    <col width="53.28515625" customWidth="1" style="1" min="3" max="3"/>
    <col width="14.7109375" customWidth="1" style="11" min="4" max="4"/>
    <col width="14" customWidth="1" style="11" min="5" max="5"/>
    <col width="11.140625" bestFit="1" customWidth="1" style="1" min="6" max="6"/>
    <col width="9.85546875" customWidth="1" style="1" min="7" max="7"/>
    <col width="14.42578125" customWidth="1" style="1" min="8" max="8"/>
    <col width="17.7109375" customWidth="1" style="1" min="9" max="9"/>
    <col width="11.4257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4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4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35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16.03.2026</t>
        </is>
      </c>
      <c r="B46" s="17" t="n">
        <v>0.75</v>
      </c>
      <c r="C46" s="15" t="inlineStr">
        <is>
          <t>Vorbereitung für Unterricht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17.03.2026</t>
        </is>
      </c>
      <c r="B47" s="17" t="n">
        <v>3</v>
      </c>
      <c r="C47" s="15" t="inlineStr">
        <is>
          <t>Unterricht ASA 9 Vertretung</t>
        </is>
      </c>
      <c r="D47" s="16" t="n">
        <v>19</v>
      </c>
      <c r="E47" s="37">
        <f>ROUND(B47*$D$32,2)</f>
        <v/>
      </c>
    </row>
    <row r="48">
      <c r="A48" s="44" t="inlineStr">
        <is>
          <t>18.03.2026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19.03.2026</t>
        </is>
      </c>
      <c r="B49" s="21" t="n">
        <v>3</v>
      </c>
      <c r="C49" s="22" t="inlineStr">
        <is>
          <t>Unterricht ASA 8</t>
        </is>
      </c>
      <c r="D49" s="23" t="n">
        <v>19</v>
      </c>
      <c r="E49" s="37">
        <f>ROUND(B49*$D$32,2)</f>
        <v/>
      </c>
    </row>
    <row r="50">
      <c r="A50" s="44" t="inlineStr">
        <is>
          <t>19.03.2026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20.03.2026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22.03.2026</t>
        </is>
      </c>
      <c r="B52" s="21" t="n">
        <v>0.75</v>
      </c>
      <c r="C52" s="22" t="inlineStr">
        <is>
          <t>Vorbereitung für Unterricht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23.03.2026</t>
        </is>
      </c>
      <c r="B53" s="21" t="n">
        <v>3</v>
      </c>
      <c r="C53" s="22" t="inlineStr">
        <is>
          <t>Unterricht ASA 9 Vertretung</t>
        </is>
      </c>
      <c r="D53" s="23" t="n">
        <v>19</v>
      </c>
      <c r="E53" s="37">
        <f>ROUND(B53*$D$32,2)</f>
        <v/>
      </c>
    </row>
    <row r="54">
      <c r="A54" s="44" t="inlineStr">
        <is>
          <t>23.03.2026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24.03.2026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inlineStr">
        <is>
          <t>24.03.2026</t>
        </is>
      </c>
      <c r="B56" s="21" t="n">
        <v>0.75</v>
      </c>
      <c r="C56" s="22" t="inlineStr">
        <is>
          <t>Vorbereitung für Unterricht 0,75 Stunden</t>
        </is>
      </c>
      <c r="D56" s="23" t="n">
        <v>19</v>
      </c>
      <c r="E56" s="37">
        <f>ROUND(B56*$D$32,2)</f>
        <v/>
      </c>
    </row>
    <row r="57">
      <c r="A57" s="44" t="inlineStr">
        <is>
          <t>25.03.2026</t>
        </is>
      </c>
      <c r="B57" s="21" t="n">
        <v>3</v>
      </c>
      <c r="C57" s="22" t="inlineStr">
        <is>
          <t>Unterricht ASA 9 Vertretung</t>
        </is>
      </c>
      <c r="D57" s="23" t="n">
        <v>19</v>
      </c>
      <c r="E57" s="37">
        <f>ROUND(B57*$D$32,2)</f>
        <v/>
      </c>
    </row>
    <row r="58">
      <c r="A58" s="44" t="inlineStr">
        <is>
          <t>25.03.2026</t>
        </is>
      </c>
      <c r="B58" s="21" t="n">
        <v>0.75</v>
      </c>
      <c r="C58" s="22" t="inlineStr">
        <is>
          <t>Vorbereitung für Unterricht: 0,75 Stunden</t>
        </is>
      </c>
      <c r="D58" s="23" t="n">
        <v>19</v>
      </c>
      <c r="E58" s="37">
        <f>ROUND(B58*$D$32,2)</f>
        <v/>
      </c>
    </row>
    <row r="59">
      <c r="A59" s="44" t="inlineStr">
        <is>
          <t>26.03.2026</t>
        </is>
      </c>
      <c r="B59" s="21" t="n">
        <v>3</v>
      </c>
      <c r="C59" s="22" t="inlineStr">
        <is>
          <t>Unterricht ASA 8</t>
        </is>
      </c>
      <c r="D59" s="23" t="n">
        <v>19</v>
      </c>
      <c r="E59" s="37">
        <f>ROUND(B59*$D$32,2)</f>
        <v/>
      </c>
    </row>
    <row r="60">
      <c r="A60" s="44" t="inlineStr">
        <is>
          <t>26.03.2026</t>
        </is>
      </c>
      <c r="B60" s="21" t="n">
        <v>0.75</v>
      </c>
      <c r="C60" s="22" t="inlineStr">
        <is>
          <t>Vorbereitung für Unterricht 0,75 Stunden</t>
        </is>
      </c>
      <c r="D60" s="23" t="n">
        <v>19</v>
      </c>
      <c r="E60" s="37">
        <f>ROUND(B60*$D$32,2)</f>
        <v/>
      </c>
    </row>
    <row r="61">
      <c r="A61" s="44" t="inlineStr">
        <is>
          <t>27.03.2026</t>
        </is>
      </c>
      <c r="B61" s="21" t="n">
        <v>3</v>
      </c>
      <c r="C61" s="22" t="inlineStr">
        <is>
          <t>Unterricht ASA 9 Vertretung</t>
        </is>
      </c>
      <c r="D61" s="23" t="n">
        <v>19</v>
      </c>
      <c r="E61" s="37">
        <f>ROUND(B61*$D$32,2)</f>
        <v/>
      </c>
    </row>
    <row r="62">
      <c r="A62" s="44" t="inlineStr">
        <is>
          <t>30.03.2026</t>
        </is>
      </c>
      <c r="B62" s="21" t="n">
        <v>0.75</v>
      </c>
      <c r="C62" s="22" t="inlineStr">
        <is>
          <t>Vorbereitung für Unterricht: 0,75 Stunden</t>
        </is>
      </c>
      <c r="D62" s="23" t="n">
        <v>19</v>
      </c>
      <c r="E62" s="37">
        <f>ROUND(B62*$D$32,2)</f>
        <v/>
      </c>
    </row>
    <row r="63">
      <c r="A63" s="44" t="inlineStr">
        <is>
          <t>31.03.2026</t>
        </is>
      </c>
      <c r="B63" s="21" t="n">
        <v>3</v>
      </c>
      <c r="C63" s="22" t="inlineStr">
        <is>
          <t>Unterricht ASA 8 Vertretung</t>
        </is>
      </c>
      <c r="D63" s="23" t="n">
        <v>19</v>
      </c>
      <c r="E63" s="37">
        <f>ROUND(B63*$D$32,2)</f>
        <v/>
      </c>
    </row>
    <row r="64">
      <c r="A64" s="44" t="inlineStr">
        <is>
          <t>31.03.2026</t>
        </is>
      </c>
      <c r="B64" s="21" t="n">
        <v>0.75</v>
      </c>
      <c r="C64" s="22" t="inlineStr">
        <is>
          <t>Vorbereitung für Unterricht 0,75 Stunden</t>
        </is>
      </c>
      <c r="D64" s="23" t="n">
        <v>19</v>
      </c>
      <c r="E64" s="37">
        <f>ROUND(B64*$D$32,2)</f>
        <v/>
      </c>
    </row>
    <row r="65">
      <c r="A65" s="44" t="n"/>
      <c r="B65" s="21" t="n"/>
      <c r="C65" s="22" t="n"/>
      <c r="D65" s="23" t="n"/>
      <c r="E65" s="37">
        <f>ROUND(B65*$D$32,2)</f>
        <v/>
      </c>
    </row>
    <row r="66" ht="15.75" customFormat="1" customHeight="1" s="7" thickBot="1">
      <c r="A66" s="50" t="inlineStr">
        <is>
          <t>Gesamtbetrag</t>
        </is>
      </c>
      <c r="B66" s="55" t="n"/>
      <c r="C66" s="55" t="n"/>
      <c r="D66" s="24" t="n"/>
      <c r="E66" s="38">
        <f>SUM(E32:E65)</f>
        <v/>
      </c>
    </row>
    <row r="67" ht="14.25" customHeight="1" thickTop="1">
      <c r="B67" s="3" t="n"/>
      <c r="C67" s="6" t="n"/>
      <c r="D67" s="12" t="n"/>
      <c r="E67" s="13" t="n"/>
      <c r="F67" s="8" t="n"/>
      <c r="G67" s="8" t="n"/>
      <c r="H67" s="9" t="n"/>
      <c r="I67" s="9" t="n"/>
    </row>
    <row r="68" ht="14.25" customHeight="1">
      <c r="A68" s="2" t="inlineStr">
        <is>
          <t>Ich bitte um Überweisung des vorgenannten Rechnungsbetrages innerhalb von 14 Tagen.</t>
        </is>
      </c>
      <c r="B68" s="2" t="n"/>
      <c r="C68" s="14" t="n"/>
      <c r="D68" s="14" t="n"/>
      <c r="E68" s="2" t="n"/>
      <c r="F68" s="2" t="n"/>
      <c r="G68" s="2" t="n"/>
      <c r="H68" s="2" t="n"/>
    </row>
    <row r="69" ht="14.25" customHeight="1">
      <c r="A69" s="2" t="n"/>
      <c r="B69" s="2" t="n"/>
      <c r="C69" s="14" t="n"/>
      <c r="D69" s="14" t="n"/>
      <c r="E69" s="2" t="n"/>
      <c r="F69" s="2" t="n"/>
      <c r="G69" s="2" t="n"/>
      <c r="H69" s="2" t="n"/>
    </row>
    <row r="70">
      <c r="A70" s="1" t="inlineStr">
        <is>
          <t>Bank:</t>
        </is>
      </c>
      <c r="B70" s="20" t="n"/>
      <c r="C70" s="39" t="inlineStr">
        <is>
          <t>SumUp Limited</t>
        </is>
      </c>
      <c r="D70" s="3" t="n"/>
      <c r="E70" s="3" t="n"/>
      <c r="F70" s="3" t="n"/>
      <c r="G70" s="3" t="n"/>
      <c r="H70" s="3" t="n"/>
    </row>
    <row r="71">
      <c r="A71" s="1" t="inlineStr">
        <is>
          <t>IBAN:</t>
        </is>
      </c>
      <c r="B71" s="20" t="n"/>
      <c r="C71" s="40" t="inlineStr">
        <is>
          <t>IE66SUMU99036512650081</t>
        </is>
      </c>
      <c r="D71" s="12" t="n"/>
      <c r="E71" s="10" t="n"/>
      <c r="F71" s="6" t="n"/>
      <c r="G71" s="6" t="n"/>
      <c r="H71" s="3" t="n"/>
      <c r="I71" s="3" t="n"/>
    </row>
    <row r="72">
      <c r="A72" s="1" t="inlineStr">
        <is>
          <t>Kontoinhaber:in:</t>
        </is>
      </c>
      <c r="B72" s="3" t="n"/>
      <c r="C72" s="41" t="inlineStr">
        <is>
          <t>Dominik Ballentin</t>
        </is>
      </c>
      <c r="D72" s="12" t="n"/>
      <c r="E72" s="10" t="n"/>
      <c r="F72" s="6" t="n"/>
      <c r="G72" s="6" t="n"/>
      <c r="H72" s="3" t="n"/>
      <c r="I72" s="3" t="n"/>
    </row>
    <row r="73">
      <c r="B73" s="3" t="n"/>
      <c r="C73" s="6" t="n"/>
      <c r="D73" s="53" t="n"/>
      <c r="E73" s="56" t="n"/>
      <c r="F73" s="6" t="n"/>
      <c r="G73" s="6" t="n"/>
      <c r="H73" s="3" t="n"/>
      <c r="I73" s="3" t="n"/>
    </row>
    <row r="74">
      <c r="D74" s="33" t="n"/>
      <c r="E74" s="33" t="n"/>
      <c r="F74" s="6" t="n"/>
      <c r="G74" s="6" t="n"/>
      <c r="H74" s="3" t="n"/>
      <c r="I74" s="3" t="n"/>
    </row>
    <row r="75">
      <c r="B75" s="3" t="n"/>
      <c r="C75" s="6" t="n"/>
      <c r="D75" s="1" t="n"/>
      <c r="E75" s="12" t="n"/>
      <c r="F75" s="6" t="n"/>
      <c r="G75" s="6" t="n"/>
      <c r="H75" s="3" t="n"/>
      <c r="I75" s="3" t="n"/>
    </row>
    <row r="76">
      <c r="A76" s="32" t="n"/>
      <c r="B76" s="32" t="n"/>
      <c r="C76" s="11" t="n"/>
    </row>
    <row r="77">
      <c r="A77" s="34" t="inlineStr">
        <is>
          <t>sachlich und rechnerisch richtig</t>
        </is>
      </c>
      <c r="B77" s="34" t="n"/>
      <c r="C77" s="34" t="n"/>
    </row>
    <row r="78">
      <c r="A78" s="42" t="inlineStr">
        <is>
          <t>Unterschrift MA Pro Beruf GmbH</t>
        </is>
      </c>
    </row>
  </sheetData>
  <mergeCells count="6">
    <mergeCell ref="G24:I24"/>
    <mergeCell ref="A29:E29"/>
    <mergeCell ref="G10:I10"/>
    <mergeCell ref="A66:C66"/>
    <mergeCell ref="D73:E73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62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2026-03-27T07:40:29Z</dcterms:modified>
  <cp:lastModifiedBy>Dominik Ballentin</cp:lastModifiedBy>
  <cp:lastPrinted>2026-03-27T07:37:55Z</cp:lastPrinted>
</cp:coreProperties>
</file>