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Honorar'!$A$1:$E$74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73"/>
  <sheetViews>
    <sheetView tabSelected="1" topLeftCell="A37" zoomScaleNormal="100" zoomScaleSheetLayoutView="100" workbookViewId="0">
      <selection activeCell="H53" sqref="H53"/>
    </sheetView>
  </sheetViews>
  <sheetFormatPr baseColWidth="10" defaultColWidth="11.3828125" defaultRowHeight="14.15" outlineLevelCol="0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2/2026</t>
        </is>
      </c>
      <c r="D23" s="43" t="inlineStr">
        <is>
          <t xml:space="preserve">Hannover, </t>
        </is>
      </c>
      <c r="E23" s="47" t="inlineStr">
        <is>
          <t>31.03.2026</t>
        </is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01.03.2026 bis 31.03.2026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für den Stütz- und Förderunterricht in der Ausbildungsassistenz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01.03.2026</t>
        </is>
      </c>
      <c r="B32" s="25" t="n">
        <v>0.75</v>
      </c>
      <c r="C32" s="26" t="inlineStr">
        <is>
          <t>Vorbereitung für Unterricht: 0,75 Stunden</t>
        </is>
      </c>
      <c r="D32" s="16" t="n">
        <v>19</v>
      </c>
      <c r="E32" s="37">
        <f>ROUND(B32*$D$32,2)</f>
        <v/>
      </c>
    </row>
    <row r="33">
      <c r="A33" s="44" t="inlineStr">
        <is>
          <t>02.03.2026</t>
        </is>
      </c>
      <c r="B33" s="25" t="n">
        <v>3</v>
      </c>
      <c r="C33" s="26" t="inlineStr">
        <is>
          <t>Unterricht ASA 9 Vertretung</t>
        </is>
      </c>
      <c r="D33" s="16" t="n">
        <v>19</v>
      </c>
      <c r="E33" s="37">
        <f>ROUND(B33*$D$32,2)</f>
        <v/>
      </c>
    </row>
    <row r="34">
      <c r="A34" s="44" t="inlineStr">
        <is>
          <t>02.03.2026</t>
        </is>
      </c>
      <c r="B34" s="25" t="n">
        <v>0.75</v>
      </c>
      <c r="C34" s="26" t="inlineStr">
        <is>
          <t>Vorbereitung für Unterricht: 0,75 Stunden</t>
        </is>
      </c>
      <c r="D34" s="16" t="n">
        <v>19</v>
      </c>
      <c r="E34" s="37">
        <f>ROUND(B34*$D$32,2)</f>
        <v/>
      </c>
    </row>
    <row r="35">
      <c r="A35" s="44" t="inlineStr">
        <is>
          <t>03.03.2026</t>
        </is>
      </c>
      <c r="B35" s="25" t="n">
        <v>3</v>
      </c>
      <c r="C35" s="26" t="inlineStr">
        <is>
          <t>Unterricht ASA 8 Vertretung</t>
        </is>
      </c>
      <c r="D35" s="16" t="n">
        <v>19</v>
      </c>
      <c r="E35" s="37">
        <f>ROUND(B35*$D$32,2)</f>
        <v/>
      </c>
    </row>
    <row r="36">
      <c r="A36" s="44" t="inlineStr">
        <is>
          <t>04.03.2026</t>
        </is>
      </c>
      <c r="B36" s="25" t="n">
        <v>0.75</v>
      </c>
      <c r="C36" s="26" t="inlineStr">
        <is>
          <t>Vorbereitung für Unterricht: 0,75 Stunden</t>
        </is>
      </c>
      <c r="D36" s="16" t="n">
        <v>19</v>
      </c>
      <c r="E36" s="37">
        <f>ROUND(B36*$D$32,2)</f>
        <v/>
      </c>
    </row>
    <row r="37">
      <c r="A37" s="44" t="inlineStr">
        <is>
          <t>05.03.2026</t>
        </is>
      </c>
      <c r="B37" s="25" t="n">
        <v>3</v>
      </c>
      <c r="C37" s="26" t="inlineStr">
        <is>
          <t>Unterricht ASA 8</t>
        </is>
      </c>
      <c r="D37" s="16" t="n">
        <v>19</v>
      </c>
      <c r="E37" s="37">
        <f>ROUND(B37*$D$32,2)</f>
        <v/>
      </c>
    </row>
    <row r="38">
      <c r="A38" s="44" t="inlineStr">
        <is>
          <t>05.03.2026</t>
        </is>
      </c>
      <c r="B38" s="25" t="n">
        <v>0.75</v>
      </c>
      <c r="C38" s="26" t="inlineStr">
        <is>
          <t>Vorbereitung für Unterricht 0,75 Stunden</t>
        </is>
      </c>
      <c r="D38" s="16" t="n">
        <v>19</v>
      </c>
      <c r="E38" s="37">
        <f>ROUND(B38*$D$32,2)</f>
        <v/>
      </c>
    </row>
    <row r="39">
      <c r="A39" s="44" t="inlineStr">
        <is>
          <t>06.03.2026</t>
        </is>
      </c>
      <c r="B39" s="17" t="n">
        <v>3</v>
      </c>
      <c r="C39" s="26" t="inlineStr">
        <is>
          <t>Unterricht ASA 8 Vertretung</t>
        </is>
      </c>
      <c r="D39" s="16" t="n">
        <v>19</v>
      </c>
      <c r="E39" s="37">
        <f>ROUND(B39*$D$32,2)</f>
        <v/>
      </c>
    </row>
    <row r="40">
      <c r="A40" s="44" t="inlineStr">
        <is>
          <t>08.03.2026</t>
        </is>
      </c>
      <c r="B40" s="17" t="n">
        <v>0.75</v>
      </c>
      <c r="C40" s="15" t="inlineStr">
        <is>
          <t>Vorbereitung Unterricht für 0,75 Stunden</t>
        </is>
      </c>
      <c r="D40" s="16" t="n">
        <v>19</v>
      </c>
      <c r="E40" s="37">
        <f>ROUND(B40*$D$32,2)</f>
        <v/>
      </c>
    </row>
    <row r="41">
      <c r="A41" s="44" t="inlineStr">
        <is>
          <t>09.03.2026</t>
        </is>
      </c>
      <c r="B41" s="17" t="n">
        <v>3</v>
      </c>
      <c r="C41" s="15" t="inlineStr">
        <is>
          <t>Unterricht ASA 9 Vertretung</t>
        </is>
      </c>
      <c r="D41" s="16" t="n">
        <v>19</v>
      </c>
      <c r="E41" s="37">
        <f>ROUND(B41*$D$32,2)</f>
        <v/>
      </c>
    </row>
    <row r="42">
      <c r="A42" s="44" t="inlineStr">
        <is>
          <t>11.03.2026</t>
        </is>
      </c>
      <c r="B42" s="17" t="n">
        <v>0.75</v>
      </c>
      <c r="C42" s="15" t="inlineStr">
        <is>
          <t>Vorbereitung für Unterricht: 0,75 Stunden</t>
        </is>
      </c>
      <c r="D42" s="16" t="n">
        <v>19</v>
      </c>
      <c r="E42" s="37">
        <f>ROUND(B42*$D$32,2)</f>
        <v/>
      </c>
    </row>
    <row r="43">
      <c r="A43" s="44" t="inlineStr">
        <is>
          <t>12.03.2026</t>
        </is>
      </c>
      <c r="B43" s="17" t="n">
        <v>3</v>
      </c>
      <c r="C43" s="15" t="inlineStr">
        <is>
          <t>Unterricht ASA 8</t>
        </is>
      </c>
      <c r="D43" s="16" t="n">
        <v>19</v>
      </c>
      <c r="E43" s="37">
        <f>ROUND(B43*$D$32,2)</f>
        <v/>
      </c>
    </row>
    <row r="44">
      <c r="A44" s="44" t="inlineStr">
        <is>
          <t>12.03.2026</t>
        </is>
      </c>
      <c r="B44" s="17" t="n">
        <v>0.75</v>
      </c>
      <c r="C44" s="15" t="inlineStr">
        <is>
          <t>Vorbereitung für Unterricht: 0,75 Stunden</t>
        </is>
      </c>
      <c r="D44" s="16" t="n">
        <v>19</v>
      </c>
      <c r="E44" s="37">
        <f>ROUND(B44*$D$32,2)</f>
        <v/>
      </c>
    </row>
    <row r="45">
      <c r="A45" s="44" t="inlineStr">
        <is>
          <t>13.03.2026</t>
        </is>
      </c>
      <c r="B45" s="17" t="n">
        <v>3</v>
      </c>
      <c r="C45" s="15" t="inlineStr">
        <is>
          <t>Unterricht ASA 8 Vertretung</t>
        </is>
      </c>
      <c r="D45" s="16" t="n">
        <v>19</v>
      </c>
      <c r="E45" s="37">
        <f>ROUND(B45*$D$32,2)</f>
        <v/>
      </c>
    </row>
    <row r="46">
      <c r="A46" s="44" t="inlineStr">
        <is>
          <t>18.03.2026</t>
        </is>
      </c>
      <c r="B46" s="17" t="n">
        <v>0.75</v>
      </c>
      <c r="C46" s="15" t="inlineStr">
        <is>
          <t>Vorbereitung für Unterricht: 0,75 Stunden</t>
        </is>
      </c>
      <c r="D46" s="16" t="n">
        <v>19</v>
      </c>
      <c r="E46" s="37">
        <f>ROUND(B46*$D$32,2)</f>
        <v/>
      </c>
    </row>
    <row r="47">
      <c r="A47" s="44" t="inlineStr">
        <is>
          <t>19.03.2026</t>
        </is>
      </c>
      <c r="B47" s="17" t="n">
        <v>3</v>
      </c>
      <c r="C47" s="15" t="inlineStr">
        <is>
          <t>Unterricht ASA 8</t>
        </is>
      </c>
      <c r="D47" s="16" t="n">
        <v>19</v>
      </c>
      <c r="E47" s="37">
        <f>ROUND(B47*$D$32,2)</f>
        <v/>
      </c>
    </row>
    <row r="48">
      <c r="A48" s="44" t="inlineStr">
        <is>
          <t>19.03.2026</t>
        </is>
      </c>
      <c r="B48" s="21" t="n">
        <v>0.75</v>
      </c>
      <c r="C48" s="22" t="inlineStr">
        <is>
          <t>Vorbereitung für Unterricht: 0,75 Stunden</t>
        </is>
      </c>
      <c r="D48" s="23" t="n">
        <v>19</v>
      </c>
      <c r="E48" s="37">
        <f>ROUND(B48*$D$32,2)</f>
        <v/>
      </c>
    </row>
    <row r="49">
      <c r="A49" s="44" t="inlineStr">
        <is>
          <t>20.03.2026</t>
        </is>
      </c>
      <c r="B49" s="21" t="n">
        <v>3</v>
      </c>
      <c r="C49" s="22" t="inlineStr">
        <is>
          <t>Unterricht ASA 8 Vertretung</t>
        </is>
      </c>
      <c r="D49" s="23" t="n">
        <v>19</v>
      </c>
      <c r="E49" s="37">
        <f>ROUND(B49*$D$32,2)</f>
        <v/>
      </c>
    </row>
    <row r="50">
      <c r="A50" s="44" t="inlineStr">
        <is>
          <t>23.03.2026</t>
        </is>
      </c>
      <c r="B50" s="21" t="n">
        <v>0.75</v>
      </c>
      <c r="C50" s="22" t="inlineStr">
        <is>
          <t>Vorbereitung für Unterricht: 0,75 Stunden</t>
        </is>
      </c>
      <c r="D50" s="23" t="n">
        <v>19</v>
      </c>
      <c r="E50" s="37">
        <f>ROUND(B50*$D$32,2)</f>
        <v/>
      </c>
    </row>
    <row r="51">
      <c r="A51" s="44" t="inlineStr">
        <is>
          <t>24.03.2026</t>
        </is>
      </c>
      <c r="B51" s="21" t="n">
        <v>3</v>
      </c>
      <c r="C51" s="22" t="inlineStr">
        <is>
          <t>Unterricht ASA 8 Vertretung</t>
        </is>
      </c>
      <c r="D51" s="23" t="n">
        <v>19</v>
      </c>
      <c r="E51" s="37">
        <f>ROUND(B51*$D$32,2)</f>
        <v/>
      </c>
    </row>
    <row r="52">
      <c r="A52" s="44" t="inlineStr">
        <is>
          <t>25.03.2026</t>
        </is>
      </c>
      <c r="B52" s="21" t="n">
        <v>0.75</v>
      </c>
      <c r="C52" s="22" t="inlineStr">
        <is>
          <t>Vorbereitung für Unterricht: 0,75 Stunden</t>
        </is>
      </c>
      <c r="D52" s="23" t="n">
        <v>19</v>
      </c>
      <c r="E52" s="37">
        <f>ROUND(B52*$D$32,2)</f>
        <v/>
      </c>
    </row>
    <row r="53">
      <c r="A53" s="44" t="inlineStr">
        <is>
          <t>26.03.2026</t>
        </is>
      </c>
      <c r="B53" s="21" t="n">
        <v>3</v>
      </c>
      <c r="C53" s="22" t="inlineStr">
        <is>
          <t>Unterricht ASA 8</t>
        </is>
      </c>
      <c r="D53" s="23" t="n">
        <v>19</v>
      </c>
      <c r="E53" s="37">
        <f>ROUND(B53*$D$32,2)</f>
        <v/>
      </c>
    </row>
    <row r="54">
      <c r="A54" s="44" t="inlineStr">
        <is>
          <t>30.03.2026</t>
        </is>
      </c>
      <c r="B54" s="21" t="n">
        <v>0.75</v>
      </c>
      <c r="C54" s="22" t="inlineStr">
        <is>
          <t>Vorbereitung für Unterricht: 0,75 Stunden</t>
        </is>
      </c>
      <c r="D54" s="23" t="n">
        <v>19</v>
      </c>
      <c r="E54" s="37">
        <f>ROUND(B54*$D$32,2)</f>
        <v/>
      </c>
    </row>
    <row r="55">
      <c r="A55" s="44" t="inlineStr">
        <is>
          <t>31.03.2026</t>
        </is>
      </c>
      <c r="B55" s="21" t="n">
        <v>3</v>
      </c>
      <c r="C55" s="22" t="inlineStr">
        <is>
          <t>Unterricht ASA 8 Vertretung</t>
        </is>
      </c>
      <c r="D55" s="23" t="n">
        <v>19</v>
      </c>
      <c r="E55" s="37">
        <f>ROUND(B55*$D$32,2)</f>
        <v/>
      </c>
    </row>
    <row r="56">
      <c r="A56" s="44" t="n"/>
      <c r="B56" s="21" t="n"/>
      <c r="C56" s="22" t="n"/>
      <c r="D56" s="23" t="n"/>
      <c r="E56" s="37">
        <f>ROUND(B56*$D$32,2)</f>
        <v/>
      </c>
    </row>
    <row r="57">
      <c r="A57" s="44" t="n"/>
      <c r="B57" s="21" t="n"/>
      <c r="C57" s="22" t="n"/>
      <c r="D57" s="23" t="n"/>
      <c r="E57" s="37">
        <f>ROUND(B57*$D$32,2)</f>
        <v/>
      </c>
    </row>
    <row r="58" ht="14.6" customFormat="1" customHeight="1" s="7" thickBot="1">
      <c r="A58" s="50" t="inlineStr">
        <is>
          <t>Gesamtbetrag</t>
        </is>
      </c>
      <c r="B58" s="56" t="n"/>
      <c r="C58" s="56" t="n"/>
      <c r="D58" s="24" t="n"/>
      <c r="E58" s="38">
        <f>SUM(E32:E57)</f>
        <v/>
      </c>
    </row>
    <row r="59" ht="14.25" customHeight="1" thickTop="1">
      <c r="B59" s="3" t="n"/>
      <c r="C59" s="6" t="n"/>
      <c r="D59" s="12" t="n"/>
      <c r="E59" s="13" t="n"/>
      <c r="F59" s="8" t="n"/>
      <c r="G59" s="8" t="n"/>
      <c r="H59" s="9" t="n"/>
      <c r="I59" s="9" t="n"/>
    </row>
    <row r="60" ht="14.25" customHeight="1">
      <c r="A60" s="2" t="inlineStr">
        <is>
          <t>Ich bitte um Überweisung des vorgenannten Rechnungsbetrages innerhalb von 14 Tagen.</t>
        </is>
      </c>
      <c r="B60" s="2" t="n"/>
      <c r="C60" s="14" t="n"/>
      <c r="D60" s="14" t="n"/>
      <c r="E60" s="2" t="n"/>
      <c r="F60" s="2" t="n"/>
      <c r="G60" s="2" t="n"/>
      <c r="H60" s="2" t="n"/>
    </row>
    <row r="61" ht="14.25" customHeight="1">
      <c r="A61" s="2" t="n"/>
      <c r="B61" s="2" t="n"/>
      <c r="C61" s="14" t="n"/>
      <c r="D61" s="14" t="n"/>
      <c r="E61" s="2" t="n"/>
      <c r="F61" s="2" t="n"/>
      <c r="G61" s="2" t="n"/>
      <c r="H61" s="2" t="n"/>
    </row>
    <row r="62">
      <c r="A62" s="1" t="inlineStr">
        <is>
          <t>Bank:</t>
        </is>
      </c>
      <c r="B62" s="20" t="n"/>
      <c r="C62" s="39" t="inlineStr">
        <is>
          <t>SumUp Limited</t>
        </is>
      </c>
      <c r="D62" s="3" t="n"/>
      <c r="E62" s="3" t="n"/>
      <c r="F62" s="3" t="n"/>
      <c r="G62" s="3" t="n"/>
      <c r="H62" s="3" t="n"/>
    </row>
    <row r="63">
      <c r="A63" s="1" t="inlineStr">
        <is>
          <t>IBAN:</t>
        </is>
      </c>
      <c r="B63" s="20" t="n"/>
      <c r="C63" s="40" t="inlineStr">
        <is>
          <t>IE66SUMU99036512650081</t>
        </is>
      </c>
      <c r="D63" s="12" t="n"/>
      <c r="E63" s="10" t="n"/>
      <c r="F63" s="6" t="n"/>
      <c r="G63" s="6" t="n"/>
      <c r="H63" s="3" t="n"/>
      <c r="I63" s="3" t="n"/>
    </row>
    <row r="64">
      <c r="A64" s="1" t="inlineStr">
        <is>
          <t>Kontoinhaber:in:</t>
        </is>
      </c>
      <c r="B64" s="3" t="n"/>
      <c r="C64" s="41" t="inlineStr">
        <is>
          <t>Dominik Ballentin</t>
        </is>
      </c>
      <c r="D64" s="12" t="n"/>
      <c r="E64" s="10" t="n"/>
      <c r="F64" s="6" t="n"/>
      <c r="G64" s="6" t="n"/>
      <c r="H64" s="3" t="n"/>
      <c r="I64" s="3" t="n"/>
    </row>
    <row r="65">
      <c r="B65" s="3" t="n"/>
      <c r="C65" s="6" t="n"/>
      <c r="D65" s="54" t="n"/>
      <c r="E65" s="57" t="n"/>
      <c r="F65" s="6" t="n"/>
      <c r="G65" s="6" t="n"/>
      <c r="H65" s="3" t="n"/>
      <c r="I65" s="3" t="n"/>
    </row>
    <row r="66">
      <c r="D66" s="53" t="inlineStr">
        <is>
          <t>Unterschrift Honorarkraft</t>
        </is>
      </c>
      <c r="F66" s="6" t="n"/>
      <c r="G66" s="6" t="n"/>
      <c r="H66" s="3" t="n"/>
      <c r="I66" s="3" t="n"/>
    </row>
    <row r="67">
      <c r="D67" s="53" t="n"/>
      <c r="E67" s="53" t="n"/>
      <c r="F67" s="6" t="n"/>
      <c r="G67" s="6" t="n"/>
      <c r="H67" s="3" t="n"/>
      <c r="I67" s="3" t="n"/>
    </row>
    <row r="68">
      <c r="D68" s="53" t="n"/>
      <c r="E68" s="53" t="n"/>
      <c r="F68" s="6" t="n"/>
      <c r="G68" s="6" t="n"/>
      <c r="H68" s="3" t="n"/>
      <c r="I68" s="3" t="n"/>
    </row>
    <row r="69">
      <c r="D69" s="53" t="n"/>
      <c r="E69" s="53" t="n"/>
      <c r="F69" s="6" t="n"/>
      <c r="G69" s="6" t="n"/>
      <c r="H69" s="3" t="n"/>
      <c r="I69" s="3" t="n"/>
    </row>
    <row r="70">
      <c r="B70" s="3" t="n"/>
      <c r="C70" s="6" t="n"/>
      <c r="D70" s="1" t="n"/>
      <c r="E70" s="12" t="n"/>
      <c r="F70" s="6" t="n"/>
      <c r="G70" s="6" t="n"/>
      <c r="H70" s="3" t="n"/>
      <c r="I70" s="3" t="n"/>
    </row>
    <row r="71">
      <c r="A71" s="32" t="n"/>
      <c r="B71" s="32" t="n"/>
      <c r="C71" s="11" t="n"/>
    </row>
    <row r="72">
      <c r="A72" s="34" t="inlineStr">
        <is>
          <t>sachlich und rechnerisch richtig</t>
        </is>
      </c>
      <c r="B72" s="34" t="n"/>
      <c r="C72" s="34" t="n"/>
    </row>
    <row r="73">
      <c r="A73" s="42" t="inlineStr">
        <is>
          <t>Unterschrift MA Pro Beruf GmbH</t>
        </is>
      </c>
    </row>
  </sheetData>
  <mergeCells count="7">
    <mergeCell ref="G24:I24"/>
    <mergeCell ref="A29:E29"/>
    <mergeCell ref="G10:I10"/>
    <mergeCell ref="G9:H9"/>
    <mergeCell ref="A58:C58"/>
    <mergeCell ref="D66:E66"/>
    <mergeCell ref="D65:E65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2026-03-10T22:02:01Z</dcterms:modified>
  <cp:lastModifiedBy>Dominik Ballentin</cp:lastModifiedBy>
  <cp:lastPrinted>2026-02-05T14:00:38Z</cp:lastPrinted>
</cp:coreProperties>
</file>