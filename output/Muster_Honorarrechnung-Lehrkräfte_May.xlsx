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480" windowWidth="29040" windowHeight="16920" tabRatio="600" firstSheet="0" activeTab="0" autoFilterDateGrouping="1"/>
  </bookViews>
  <sheets>
    <sheet name="Rechnungsvorlage Honorar" sheetId="1" state="visible" r:id="rId1"/>
  </sheets>
  <definedNames>
    <definedName name="_xlnm.Print_Area" localSheetId="0">'Rechnungsvorlage Honorar'!$A$1:$E$79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11">
    <font>
      <name val="Arial"/>
      <sz val="10"/>
    </font>
    <font>
      <name val="Arial"/>
      <family val="2"/>
      <b val="1"/>
      <sz val="11"/>
    </font>
    <font>
      <name val="Arial"/>
      <family val="2"/>
      <sz val="8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sz val="12"/>
    </font>
    <font>
      <name val="Segoe UI"/>
      <family val="2"/>
      <color indexed="81"/>
      <sz val="9"/>
    </font>
    <font>
      <name val="Arial"/>
      <family val="2"/>
      <sz val="9"/>
    </font>
    <font>
      <name val="Arial"/>
      <color theme="10"/>
      <sz val="10"/>
      <u val="single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wrapText="1"/>
    </xf>
    <xf numFmtId="164" fontId="3" fillId="0" borderId="1" applyAlignment="1" pivotButton="0" quotePrefix="0" xfId="0">
      <alignment horizontal="center" wrapText="1"/>
    </xf>
    <xf numFmtId="2" fontId="3" fillId="0" borderId="1" applyAlignment="1" pivotButton="0" quotePrefix="0" xfId="0">
      <alignment horizontal="center"/>
    </xf>
    <xf numFmtId="17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top"/>
    </xf>
    <xf numFmtId="2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wrapText="1"/>
    </xf>
    <xf numFmtId="164" fontId="3" fillId="0" borderId="2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2" fontId="5" fillId="0" borderId="1" applyAlignment="1" pivotButton="0" quotePrefix="0" xfId="0">
      <alignment horizontal="center"/>
    </xf>
    <xf numFmtId="0" fontId="5" fillId="0" borderId="1" pivotButton="0" quotePrefix="0" xfId="0"/>
    <xf numFmtId="0" fontId="5" fillId="3" borderId="0" applyAlignment="1" pivotButton="0" quotePrefix="0" xfId="0">
      <alignment wrapText="1"/>
    </xf>
    <xf numFmtId="49" fontId="1" fillId="3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center" wrapText="1"/>
    </xf>
    <xf numFmtId="0" fontId="3" fillId="0" borderId="7" pivotButton="0" quotePrefix="0" xfId="0"/>
    <xf numFmtId="0" fontId="9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wrapText="1"/>
    </xf>
    <xf numFmtId="164" fontId="1" fillId="2" borderId="6" applyAlignment="1" pivotButton="0" quotePrefix="0" xfId="0">
      <alignment horizontal="right" wrapText="1"/>
    </xf>
    <xf numFmtId="0" fontId="4" fillId="3" borderId="0" applyAlignment="1" pivotButton="0" quotePrefix="0" xfId="0">
      <alignment horizontal="left" vertical="top"/>
    </xf>
    <xf numFmtId="0" fontId="4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/>
    </xf>
    <xf numFmtId="0" fontId="6" fillId="3" borderId="0" applyAlignment="1" pivotButton="0" quotePrefix="0" xfId="0">
      <alignment horizontal="right" wrapText="1"/>
    </xf>
    <xf numFmtId="14" fontId="5" fillId="0" borderId="1" applyAlignment="1" pivotButton="0" quotePrefix="0" xfId="0">
      <alignment horizontal="center"/>
    </xf>
    <xf numFmtId="49" fontId="3" fillId="3" borderId="0" pivotButton="0" quotePrefix="0" xfId="0"/>
    <xf numFmtId="49" fontId="3" fillId="0" borderId="0" pivotButton="0" quotePrefix="0" xfId="0"/>
    <xf numFmtId="14" fontId="6" fillId="3" borderId="0" applyAlignment="1" pivotButton="0" quotePrefix="0" xfId="0">
      <alignment horizontal="center"/>
    </xf>
    <xf numFmtId="49" fontId="10" fillId="0" borderId="0" pivotButton="0" quotePrefix="0" xfId="1"/>
    <xf numFmtId="0" fontId="3" fillId="0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wrapText="1"/>
    </xf>
    <xf numFmtId="0" fontId="1" fillId="2" borderId="5" applyAlignment="1" pivotButton="0" quotePrefix="0" xfId="0">
      <alignment horizontal="left" wrapText="1"/>
    </xf>
    <xf numFmtId="0" fontId="3" fillId="3" borderId="0" applyAlignment="1" pivotButton="0" quotePrefix="0" xfId="0">
      <alignment horizontal="left" wrapText="1"/>
    </xf>
    <xf numFmtId="0" fontId="3" fillId="0" borderId="7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0" fillId="0" borderId="5" pivotButton="0" quotePrefix="0" xfId="0"/>
    <xf numFmtId="0" fontId="0" fillId="0" borderId="7" pivotButton="0" quotePrefix="0" xfId="0"/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Karin Kleiner</author>
    <author>Sabine Schneider</author>
  </authors>
  <commentList>
    <comment ref="A2" authorId="0" shapeId="0">
      <text>
        <t>Bitte diese Felder überschreiben</t>
      </text>
    </comment>
    <comment ref="A23" authorId="1" shapeId="0">
      <text>
        <t xml:space="preserve">fortlaufende Rechnungsnummer, immer aufsteigend
</t>
      </text>
    </comment>
    <comment ref="E23" authorId="0" shapeId="0">
      <text>
        <t>Das Datum muss im Monat der erbrachten Leistung liegen. (letzter Arbeitstag max. Monatsletzter)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ominikballentin.unterstuetzung@gmail.com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8"/>
  <sheetViews>
    <sheetView tabSelected="1" topLeftCell="A44" zoomScaleNormal="100" zoomScaleSheetLayoutView="100" workbookViewId="0">
      <selection activeCell="E32" sqref="E32:E65"/>
    </sheetView>
  </sheetViews>
  <sheetFormatPr baseColWidth="10" defaultColWidth="11.42578125" defaultRowHeight="14.25" outlineLevelCol="0"/>
  <cols>
    <col width="15.140625" customWidth="1" style="1" min="1" max="1"/>
    <col width="20.7109375" customWidth="1" style="1" min="2" max="2"/>
    <col width="53.28515625" customWidth="1" style="1" min="3" max="3"/>
    <col width="14.7109375" customWidth="1" style="11" min="4" max="4"/>
    <col width="14" customWidth="1" style="11" min="5" max="5"/>
    <col width="11.140625" bestFit="1" customWidth="1" style="1" min="6" max="6"/>
    <col width="9.85546875" customWidth="1" style="1" min="7" max="7"/>
    <col width="14.42578125" customWidth="1" style="1" min="8" max="8"/>
    <col width="17.7109375" customWidth="1" style="1" min="9" max="9"/>
    <col width="11.42578125" customWidth="1" style="1" min="10" max="16384"/>
  </cols>
  <sheetData>
    <row r="1">
      <c r="A1" s="19" t="n"/>
      <c r="C1" s="4" t="n"/>
      <c r="D1" s="10" t="n"/>
      <c r="E1" s="10" t="n"/>
    </row>
    <row r="2">
      <c r="A2" s="45" t="inlineStr">
        <is>
          <t>Vorname Name</t>
        </is>
      </c>
      <c r="B2" s="46" t="inlineStr">
        <is>
          <t>Dominik Ballentin</t>
        </is>
      </c>
      <c r="C2" s="4" t="n"/>
      <c r="D2" s="10" t="n"/>
      <c r="E2" s="10" t="n"/>
    </row>
    <row r="3">
      <c r="A3" s="45" t="inlineStr">
        <is>
          <t>Straße</t>
        </is>
      </c>
      <c r="B3" s="46" t="inlineStr">
        <is>
          <t>Stozlestraße 26</t>
        </is>
      </c>
      <c r="C3" s="4" t="n"/>
      <c r="D3" s="10" t="n"/>
      <c r="E3" s="10" t="n"/>
      <c r="I3" s="54" t="n"/>
    </row>
    <row r="4">
      <c r="A4" s="45" t="inlineStr">
        <is>
          <t>PLZ Ort</t>
        </is>
      </c>
      <c r="B4" s="46" t="inlineStr">
        <is>
          <t>30171 Hannover</t>
        </is>
      </c>
      <c r="C4" s="4" t="n"/>
      <c r="D4" s="10" t="n"/>
      <c r="E4" s="10" t="n"/>
    </row>
    <row r="5">
      <c r="A5" s="45" t="inlineStr">
        <is>
          <t>E-Mal-Adresse</t>
        </is>
      </c>
      <c r="B5" s="48" t="inlineStr">
        <is>
          <t>dominikballentin.unterstuetzung@gmail.com</t>
        </is>
      </c>
      <c r="C5" s="4" t="n"/>
      <c r="D5" s="10" t="n"/>
      <c r="E5" s="10" t="n"/>
    </row>
    <row r="6">
      <c r="A6" s="45" t="inlineStr">
        <is>
          <t>Telefonnummer</t>
        </is>
      </c>
      <c r="B6" s="46" t="inlineStr">
        <is>
          <t>0160/4083197</t>
        </is>
      </c>
      <c r="C6" s="4" t="n"/>
      <c r="D6" s="10" t="n"/>
      <c r="E6" s="10" t="n"/>
      <c r="H6" s="6" t="n"/>
      <c r="I6" s="6" t="n"/>
    </row>
    <row r="7">
      <c r="C7" s="4" t="n"/>
      <c r="D7" s="10" t="n"/>
      <c r="E7" s="10" t="n"/>
    </row>
    <row r="8">
      <c r="C8" s="4" t="n"/>
      <c r="D8" s="10" t="n"/>
      <c r="E8" s="10" t="n"/>
    </row>
    <row r="9">
      <c r="C9" s="4" t="n"/>
      <c r="D9" s="10" t="n"/>
      <c r="E9" s="10" t="n"/>
      <c r="G9" s="49" t="n"/>
    </row>
    <row r="10">
      <c r="C10" s="4" t="n"/>
      <c r="D10" s="10" t="n"/>
      <c r="E10" s="10" t="n"/>
      <c r="G10" s="49" t="n"/>
    </row>
    <row r="11" ht="15" customFormat="1" customHeight="1" s="29">
      <c r="A11" s="29" t="inlineStr">
        <is>
          <t>Pro Beruf GmbH</t>
        </is>
      </c>
      <c r="C11" s="30" t="n"/>
      <c r="D11" s="31" t="n"/>
      <c r="E11" s="31" t="n"/>
    </row>
    <row r="12" ht="15" customFormat="1" customHeight="1" s="29">
      <c r="A12" s="29" t="inlineStr">
        <is>
          <t>Eckenerstraße 5 A</t>
        </is>
      </c>
      <c r="C12" s="30" t="n"/>
      <c r="D12" s="31" t="n"/>
      <c r="E12" s="31" t="n"/>
    </row>
    <row r="13" ht="15" customFormat="1" customHeight="1" s="29">
      <c r="A13" s="29" t="inlineStr">
        <is>
          <t>30179 Hannover</t>
        </is>
      </c>
      <c r="C13" s="30" t="n"/>
      <c r="D13" s="31" t="n"/>
      <c r="E13" s="31" t="n"/>
    </row>
    <row r="14">
      <c r="C14" s="4" t="n"/>
      <c r="D14" s="10" t="n"/>
      <c r="E14" s="10" t="n"/>
    </row>
    <row r="15">
      <c r="C15" s="4" t="n"/>
      <c r="D15" s="10" t="n"/>
      <c r="E15" s="10" t="n"/>
    </row>
    <row r="16">
      <c r="C16" s="4" t="n"/>
      <c r="D16" s="10" t="n"/>
      <c r="E16" s="10" t="n"/>
    </row>
    <row r="17">
      <c r="C17" s="4" t="n"/>
      <c r="D17" s="10" t="n"/>
      <c r="E17" s="10" t="n"/>
    </row>
    <row r="18">
      <c r="C18" s="4" t="n"/>
      <c r="D18" s="10" t="n"/>
      <c r="E18" s="10" t="n"/>
    </row>
    <row r="19">
      <c r="C19" s="4" t="n"/>
      <c r="D19" s="10" t="n"/>
      <c r="E19" s="10" t="n"/>
    </row>
    <row r="20">
      <c r="C20" s="4" t="n"/>
      <c r="D20" s="10" t="n"/>
      <c r="E20" s="10" t="n"/>
    </row>
    <row r="21">
      <c r="C21" s="4" t="n"/>
      <c r="D21" s="10" t="n"/>
      <c r="E21" s="10" t="n"/>
    </row>
    <row r="22">
      <c r="C22" s="4" t="n"/>
      <c r="D22" s="10" t="n"/>
      <c r="E22" s="10" t="n"/>
    </row>
    <row r="23" ht="18" customHeight="1">
      <c r="A23" s="7" t="inlineStr">
        <is>
          <t>Rechnungsnummer:</t>
        </is>
      </c>
      <c r="B23" s="7" t="n"/>
      <c r="C23" s="28" t="inlineStr">
        <is>
          <t>4/2026</t>
        </is>
      </c>
      <c r="D23" s="43" t="inlineStr">
        <is>
          <t xml:space="preserve">Hannover, </t>
        </is>
      </c>
      <c r="E23" s="47" t="inlineStr">
        <is>
          <t>28.05.2026</t>
        </is>
      </c>
    </row>
    <row r="24" ht="18" customHeight="1">
      <c r="A24" s="7" t="inlineStr">
        <is>
          <t xml:space="preserve">Zeitraum: </t>
        </is>
      </c>
      <c r="B24" s="18" t="n"/>
      <c r="C24" s="27" t="inlineStr">
        <is>
          <t>06.05.2026 bis 28.05.2026</t>
        </is>
      </c>
      <c r="D24" s="10" t="n"/>
      <c r="E24" s="10" t="n"/>
      <c r="G24" s="54" t="n"/>
    </row>
    <row r="25" ht="12.75" customHeight="1">
      <c r="C25" s="4" t="n"/>
      <c r="D25" s="10" t="n"/>
      <c r="E25" s="10" t="n"/>
    </row>
    <row r="26" ht="12.75" customHeight="1">
      <c r="C26" s="4" t="n"/>
      <c r="D26" s="10" t="n"/>
      <c r="E26" s="10" t="n"/>
    </row>
    <row r="27" ht="14.25" customHeight="1">
      <c r="A27" s="1" t="inlineStr">
        <is>
          <t>Sehr geehrte Damen und Herren,</t>
        </is>
      </c>
      <c r="C27" s="4" t="n"/>
      <c r="D27" s="10" t="n"/>
      <c r="E27" s="10" t="n"/>
    </row>
    <row r="28" ht="14.25" customHeight="1">
      <c r="C28" s="4" t="n"/>
      <c r="D28" s="10" t="n"/>
      <c r="E28" s="10" t="n"/>
    </row>
    <row r="29" ht="34.35" customHeight="1">
      <c r="A29" s="52" t="inlineStr">
        <is>
          <t xml:space="preserve">für die unten aufgeführten Leistungen für den Stütz- und Förderunterricht in der Ausbildungsassistenz im Projekt Assistierte Ausbildung AsA VIII berechne ich Ihnen wie folgt: </t>
        </is>
      </c>
    </row>
    <row r="30">
      <c r="C30" s="4" t="n"/>
      <c r="D30" s="10" t="n"/>
      <c r="E30" s="10" t="n"/>
    </row>
    <row r="31" ht="45" customHeight="1">
      <c r="A31" s="35" t="inlineStr">
        <is>
          <t>Datum</t>
        </is>
      </c>
      <c r="B31" s="35" t="inlineStr">
        <is>
          <t>Stunden</t>
        </is>
      </c>
      <c r="C31" s="36" t="inlineStr">
        <is>
          <t>Leistung</t>
        </is>
      </c>
      <c r="D31" s="36" t="inlineStr">
        <is>
          <t>Stundensatz / Preis pro Einheit</t>
        </is>
      </c>
      <c r="E31" s="36" t="inlineStr">
        <is>
          <t>Betrag</t>
        </is>
      </c>
    </row>
    <row r="32">
      <c r="A32" s="44" t="inlineStr">
        <is>
          <t>06.05.2026</t>
        </is>
      </c>
      <c r="B32" s="25" t="n">
        <v>0.75</v>
      </c>
      <c r="C32" s="26" t="inlineStr">
        <is>
          <t>Vorbereitung für Unterricht: 0,75 Stunden</t>
        </is>
      </c>
      <c r="D32" s="16" t="n">
        <v>19</v>
      </c>
      <c r="E32" s="37">
        <f>ROUND(B32*$D$32,2)</f>
        <v/>
      </c>
    </row>
    <row r="33">
      <c r="A33" s="44" t="inlineStr">
        <is>
          <t>07.05.2026</t>
        </is>
      </c>
      <c r="B33" s="25" t="n">
        <v>3</v>
      </c>
      <c r="C33" s="26" t="inlineStr">
        <is>
          <t>Unterricht ASA 8</t>
        </is>
      </c>
      <c r="D33" s="16" t="n">
        <v>19</v>
      </c>
      <c r="E33" s="37">
        <f>ROUND(B33*$D$32,2)</f>
        <v/>
      </c>
    </row>
    <row r="34">
      <c r="A34" s="44" t="inlineStr">
        <is>
          <t>13.05.2026</t>
        </is>
      </c>
      <c r="B34" s="25" t="n">
        <v>0.75</v>
      </c>
      <c r="C34" s="26" t="inlineStr">
        <is>
          <t>Vorbereitung für Unterricht: 0,75 Stunden</t>
        </is>
      </c>
      <c r="D34" s="16" t="n">
        <v>19</v>
      </c>
      <c r="E34" s="37">
        <f>ROUND(B34*$D$32,2)</f>
        <v/>
      </c>
    </row>
    <row r="35">
      <c r="A35" s="44" t="inlineStr">
        <is>
          <t>14.05.2026</t>
        </is>
      </c>
      <c r="B35" s="25" t="n">
        <v>3</v>
      </c>
      <c r="C35" s="26" t="inlineStr">
        <is>
          <t>Unterricht ASA 8</t>
        </is>
      </c>
      <c r="D35" s="16" t="n">
        <v>19</v>
      </c>
      <c r="E35" s="37">
        <f>ROUND(B35*$D$32,2)</f>
        <v/>
      </c>
    </row>
    <row r="36">
      <c r="A36" s="44" t="inlineStr">
        <is>
          <t>20.05.2026</t>
        </is>
      </c>
      <c r="B36" s="25" t="n">
        <v>0.75</v>
      </c>
      <c r="C36" s="26" t="inlineStr">
        <is>
          <t>Vorbereitung für Unterricht: 0,75 Stunden</t>
        </is>
      </c>
      <c r="D36" s="16" t="n">
        <v>19</v>
      </c>
      <c r="E36" s="37">
        <f>ROUND(B36*$D$32,2)</f>
        <v/>
      </c>
    </row>
    <row r="37">
      <c r="A37" s="44" t="inlineStr">
        <is>
          <t>21.05.2026</t>
        </is>
      </c>
      <c r="B37" s="25" t="n">
        <v>3</v>
      </c>
      <c r="C37" s="26" t="inlineStr">
        <is>
          <t>Unterricht ASA 8</t>
        </is>
      </c>
      <c r="D37" s="16" t="n">
        <v>19</v>
      </c>
      <c r="E37" s="37">
        <f>ROUND(B37*$D$32,2)</f>
        <v/>
      </c>
    </row>
    <row r="38">
      <c r="A38" s="44" t="inlineStr">
        <is>
          <t>27.05.2026</t>
        </is>
      </c>
      <c r="B38" s="25" t="n">
        <v>0.75</v>
      </c>
      <c r="C38" s="26" t="inlineStr">
        <is>
          <t>Vorbereitung für Unterricht: 0,75 Stunden</t>
        </is>
      </c>
      <c r="D38" s="16" t="n">
        <v>19</v>
      </c>
      <c r="E38" s="37">
        <f>ROUND(B38*$D$32,2)</f>
        <v/>
      </c>
    </row>
    <row r="39">
      <c r="A39" s="44" t="inlineStr">
        <is>
          <t>28.05.2026</t>
        </is>
      </c>
      <c r="B39" s="17" t="n">
        <v>3</v>
      </c>
      <c r="C39" s="26" t="inlineStr">
        <is>
          <t>Unterricht ASA 8</t>
        </is>
      </c>
      <c r="D39" s="16" t="n">
        <v>19</v>
      </c>
      <c r="E39" s="37">
        <f>ROUND(B39*$D$32,2)</f>
        <v/>
      </c>
    </row>
    <row r="40">
      <c r="A40" s="44" t="n"/>
      <c r="B40" s="17" t="n"/>
      <c r="C40" s="15" t="n"/>
      <c r="D40" s="16" t="n"/>
      <c r="E40" s="37">
        <f>ROUND(B40*$D$32,2)</f>
        <v/>
      </c>
    </row>
    <row r="41">
      <c r="A41" s="44" t="n"/>
      <c r="B41" s="17" t="n"/>
      <c r="C41" s="15" t="n"/>
      <c r="D41" s="16" t="n"/>
      <c r="E41" s="37">
        <f>ROUND(B41*$D$32,2)</f>
        <v/>
      </c>
    </row>
    <row r="42">
      <c r="A42" s="44" t="n"/>
      <c r="B42" s="17" t="n"/>
      <c r="C42" s="15" t="n"/>
      <c r="D42" s="16" t="n"/>
      <c r="E42" s="37">
        <f>ROUND(B42*$D$32,2)</f>
        <v/>
      </c>
    </row>
    <row r="43">
      <c r="A43" s="44" t="n"/>
      <c r="B43" s="17" t="n"/>
      <c r="C43" s="15" t="n"/>
      <c r="D43" s="16" t="n"/>
      <c r="E43" s="37">
        <f>ROUND(B43*$D$32,2)</f>
        <v/>
      </c>
    </row>
    <row r="44">
      <c r="A44" s="44" t="n"/>
      <c r="B44" s="17" t="n"/>
      <c r="C44" s="15" t="n"/>
      <c r="D44" s="16" t="n"/>
      <c r="E44" s="37">
        <f>ROUND(B44*$D$32,2)</f>
        <v/>
      </c>
    </row>
    <row r="45">
      <c r="A45" s="44" t="n"/>
      <c r="B45" s="17" t="n"/>
      <c r="C45" s="15" t="n"/>
      <c r="D45" s="16" t="n"/>
      <c r="E45" s="37">
        <f>ROUND(B45*$D$32,2)</f>
        <v/>
      </c>
    </row>
    <row r="46">
      <c r="A46" s="44" t="n"/>
      <c r="B46" s="17" t="n"/>
      <c r="C46" s="15" t="n"/>
      <c r="D46" s="16" t="n"/>
      <c r="E46" s="37">
        <f>ROUND(B46*$D$32,2)</f>
        <v/>
      </c>
    </row>
    <row r="47">
      <c r="A47" s="44" t="n"/>
      <c r="B47" s="17" t="n"/>
      <c r="C47" s="15" t="n"/>
      <c r="D47" s="16" t="n"/>
      <c r="E47" s="37">
        <f>ROUND(B47*$D$32,2)</f>
        <v/>
      </c>
    </row>
    <row r="48">
      <c r="A48" s="44" t="n"/>
      <c r="B48" s="21" t="n"/>
      <c r="C48" s="22" t="n"/>
      <c r="D48" s="23" t="n"/>
      <c r="E48" s="37">
        <f>ROUND(B48*$D$32,2)</f>
        <v/>
      </c>
    </row>
    <row r="49">
      <c r="A49" s="44" t="n"/>
      <c r="B49" s="21" t="n"/>
      <c r="C49" s="22" t="n"/>
      <c r="D49" s="23" t="n"/>
      <c r="E49" s="37">
        <f>ROUND(B49*$D$32,2)</f>
        <v/>
      </c>
    </row>
    <row r="50">
      <c r="A50" s="44" t="n"/>
      <c r="B50" s="21" t="n"/>
      <c r="C50" s="22" t="n"/>
      <c r="D50" s="23" t="n"/>
      <c r="E50" s="37">
        <f>ROUND(B50*$D$32,2)</f>
        <v/>
      </c>
    </row>
    <row r="51">
      <c r="A51" s="44" t="n"/>
      <c r="B51" s="21" t="n"/>
      <c r="C51" s="22" t="n"/>
      <c r="D51" s="23" t="n"/>
      <c r="E51" s="37">
        <f>ROUND(B51*$D$32,2)</f>
        <v/>
      </c>
    </row>
    <row r="52">
      <c r="A52" s="44" t="n"/>
      <c r="B52" s="21" t="n"/>
      <c r="C52" s="22" t="n"/>
      <c r="D52" s="23" t="n"/>
      <c r="E52" s="37">
        <f>ROUND(B52*$D$32,2)</f>
        <v/>
      </c>
    </row>
    <row r="53">
      <c r="A53" s="44" t="n"/>
      <c r="B53" s="21" t="n"/>
      <c r="C53" s="22" t="n"/>
      <c r="D53" s="23" t="n"/>
      <c r="E53" s="37">
        <f>ROUND(B53*$D$32,2)</f>
        <v/>
      </c>
    </row>
    <row r="54">
      <c r="A54" s="44" t="n"/>
      <c r="B54" s="21" t="n"/>
      <c r="C54" s="22" t="n"/>
      <c r="D54" s="23" t="n"/>
      <c r="E54" s="37">
        <f>ROUND(B54*$D$32,2)</f>
        <v/>
      </c>
    </row>
    <row r="55">
      <c r="A55" s="44" t="n"/>
      <c r="B55" s="21" t="n"/>
      <c r="C55" s="22" t="n"/>
      <c r="D55" s="23" t="n"/>
      <c r="E55" s="37">
        <f>ROUND(B55*$D$32,2)</f>
        <v/>
      </c>
    </row>
    <row r="56">
      <c r="A56" s="44" t="n"/>
      <c r="B56" s="21" t="n"/>
      <c r="C56" s="22" t="n"/>
      <c r="D56" s="23" t="n"/>
      <c r="E56" s="37">
        <f>ROUND(B56*$D$32,2)</f>
        <v/>
      </c>
    </row>
    <row r="57">
      <c r="A57" s="44" t="n"/>
      <c r="B57" s="21" t="n"/>
      <c r="C57" s="22" t="n"/>
      <c r="D57" s="23" t="n"/>
      <c r="E57" s="37">
        <f>ROUND(B57*$D$32,2)</f>
        <v/>
      </c>
    </row>
    <row r="58">
      <c r="A58" s="44" t="n"/>
      <c r="B58" s="21" t="n"/>
      <c r="C58" s="22" t="n"/>
      <c r="D58" s="23" t="n"/>
      <c r="E58" s="37">
        <f>ROUND(B58*$D$32,2)</f>
        <v/>
      </c>
    </row>
    <row r="59">
      <c r="A59" s="44" t="n"/>
      <c r="B59" s="21" t="n"/>
      <c r="C59" s="22" t="n"/>
      <c r="D59" s="23" t="n"/>
      <c r="E59" s="37">
        <f>ROUND(B59*$D$32,2)</f>
        <v/>
      </c>
    </row>
    <row r="60">
      <c r="A60" s="44" t="n"/>
      <c r="B60" s="21" t="n"/>
      <c r="C60" s="22" t="n"/>
      <c r="D60" s="23" t="n"/>
      <c r="E60" s="37">
        <f>ROUND(B60*$D$32,2)</f>
        <v/>
      </c>
    </row>
    <row r="61">
      <c r="A61" s="44" t="n"/>
      <c r="B61" s="21" t="n"/>
      <c r="C61" s="22" t="n"/>
      <c r="D61" s="23" t="n"/>
      <c r="E61" s="37">
        <f>ROUND(B61*$D$32,2)</f>
        <v/>
      </c>
    </row>
    <row r="62">
      <c r="A62" s="44" t="n"/>
      <c r="B62" s="21" t="n"/>
      <c r="C62" s="22" t="n"/>
      <c r="D62" s="23" t="n"/>
      <c r="E62" s="37">
        <f>ROUND(B62*$D$32,2)</f>
        <v/>
      </c>
    </row>
    <row r="63">
      <c r="A63" s="44" t="n"/>
      <c r="B63" s="21" t="n"/>
      <c r="C63" s="22" t="n"/>
      <c r="D63" s="23" t="n"/>
      <c r="E63" s="37">
        <f>ROUND(B63*$D$32,2)</f>
        <v/>
      </c>
    </row>
    <row r="64">
      <c r="A64" s="44" t="n"/>
      <c r="B64" s="21" t="n"/>
      <c r="C64" s="22" t="n"/>
      <c r="D64" s="23" t="n"/>
      <c r="E64" s="37">
        <f>ROUND(B64*$D$32,2)</f>
        <v/>
      </c>
    </row>
    <row r="65">
      <c r="A65" s="44" t="n"/>
      <c r="B65" s="21" t="n"/>
      <c r="C65" s="22" t="n"/>
      <c r="D65" s="23" t="n"/>
      <c r="E65" s="37">
        <f>ROUND(B65*$D$32,2)</f>
        <v/>
      </c>
    </row>
    <row r="66" ht="15.75" customFormat="1" customHeight="1" s="7" thickBot="1">
      <c r="A66" s="50" t="inlineStr">
        <is>
          <t>Gesamtbetrag</t>
        </is>
      </c>
      <c r="B66" s="55" t="n"/>
      <c r="C66" s="55" t="n"/>
      <c r="D66" s="24" t="n"/>
      <c r="E66" s="38">
        <f>SUM(E32:E65)</f>
        <v/>
      </c>
    </row>
    <row r="67" ht="14.25" customHeight="1" thickTop="1">
      <c r="B67" s="3" t="n"/>
      <c r="C67" s="6" t="n"/>
      <c r="D67" s="12" t="n"/>
      <c r="E67" s="13" t="n"/>
      <c r="F67" s="8" t="n"/>
      <c r="G67" s="8" t="n"/>
      <c r="H67" s="9" t="n"/>
      <c r="I67" s="9" t="n"/>
    </row>
    <row r="68" ht="14.25" customHeight="1">
      <c r="A68" s="2" t="inlineStr">
        <is>
          <t>Ich bitte um Überweisung des vorgenannten Rechnungsbetrages innerhalb von 14 Tagen.</t>
        </is>
      </c>
      <c r="B68" s="2" t="n"/>
      <c r="C68" s="14" t="n"/>
      <c r="D68" s="14" t="n"/>
      <c r="E68" s="2" t="n"/>
      <c r="F68" s="2" t="n"/>
      <c r="G68" s="2" t="n"/>
      <c r="H68" s="2" t="n"/>
    </row>
    <row r="69" ht="14.25" customHeight="1">
      <c r="A69" s="2" t="n"/>
      <c r="B69" s="2" t="n"/>
      <c r="C69" s="14" t="n"/>
      <c r="D69" s="14" t="n"/>
      <c r="E69" s="2" t="n"/>
      <c r="F69" s="2" t="n"/>
      <c r="G69" s="2" t="n"/>
      <c r="H69" s="2" t="n"/>
    </row>
    <row r="70">
      <c r="A70" s="1" t="inlineStr">
        <is>
          <t>Bank:</t>
        </is>
      </c>
      <c r="B70" s="20" t="n"/>
      <c r="C70" s="39" t="inlineStr">
        <is>
          <t>SumUp Limited</t>
        </is>
      </c>
      <c r="D70" s="3" t="n"/>
      <c r="E70" s="3" t="n"/>
      <c r="F70" s="3" t="n"/>
      <c r="G70" s="3" t="n"/>
      <c r="H70" s="3" t="n"/>
    </row>
    <row r="71">
      <c r="A71" s="1" t="inlineStr">
        <is>
          <t>IBAN:</t>
        </is>
      </c>
      <c r="B71" s="20" t="n"/>
      <c r="C71" s="40" t="inlineStr">
        <is>
          <t>IE66SUMU99036512650081</t>
        </is>
      </c>
      <c r="D71" s="12" t="n"/>
      <c r="E71" s="10" t="n"/>
      <c r="F71" s="6" t="n"/>
      <c r="G71" s="6" t="n"/>
      <c r="H71" s="3" t="n"/>
      <c r="I71" s="3" t="n"/>
    </row>
    <row r="72">
      <c r="A72" s="1" t="inlineStr">
        <is>
          <t>Kontoinhaber:in:</t>
        </is>
      </c>
      <c r="B72" s="3" t="n"/>
      <c r="C72" s="41" t="inlineStr">
        <is>
          <t>Dominik Ballentin</t>
        </is>
      </c>
      <c r="D72" s="12" t="n"/>
      <c r="E72" s="10" t="n"/>
      <c r="F72" s="6" t="n"/>
      <c r="G72" s="6" t="n"/>
      <c r="H72" s="3" t="n"/>
      <c r="I72" s="3" t="n"/>
    </row>
    <row r="73">
      <c r="B73" s="3" t="n"/>
      <c r="C73" s="6" t="n"/>
      <c r="D73" s="53" t="n"/>
      <c r="E73" s="56" t="n"/>
      <c r="F73" s="6" t="n"/>
      <c r="G73" s="6" t="n"/>
      <c r="H73" s="3" t="n"/>
      <c r="I73" s="3" t="n"/>
    </row>
    <row r="74">
      <c r="D74" s="33" t="n"/>
      <c r="E74" s="33" t="n"/>
      <c r="F74" s="6" t="n"/>
      <c r="G74" s="6" t="n"/>
      <c r="H74" s="3" t="n"/>
      <c r="I74" s="3" t="n"/>
    </row>
    <row r="75">
      <c r="B75" s="3" t="n"/>
      <c r="C75" s="6" t="n"/>
      <c r="D75" s="1" t="n"/>
      <c r="E75" s="12" t="n"/>
      <c r="F75" s="6" t="n"/>
      <c r="G75" s="6" t="n"/>
      <c r="H75" s="3" t="n"/>
      <c r="I75" s="3" t="n"/>
    </row>
    <row r="76">
      <c r="A76" s="32" t="n"/>
      <c r="B76" s="32" t="n"/>
      <c r="C76" s="11" t="n"/>
    </row>
    <row r="77">
      <c r="A77" s="34" t="inlineStr">
        <is>
          <t>sachlich und rechnerisch richtig</t>
        </is>
      </c>
      <c r="B77" s="34" t="n"/>
      <c r="C77" s="34" t="n"/>
    </row>
    <row r="78">
      <c r="A78" s="42" t="inlineStr">
        <is>
          <t>Unterschrift MA Pro Beruf GmbH</t>
        </is>
      </c>
    </row>
  </sheetData>
  <mergeCells count="6">
    <mergeCell ref="G24:I24"/>
    <mergeCell ref="A29:E29"/>
    <mergeCell ref="G10:I10"/>
    <mergeCell ref="A66:C66"/>
    <mergeCell ref="D73:E73"/>
    <mergeCell ref="G9:H9"/>
  </mergeCells>
  <hyperlinks>
    <hyperlink xmlns:r="http://schemas.openxmlformats.org/officeDocument/2006/relationships" ref="B5" r:id="rId1"/>
  </hyperlinks>
  <pageMargins left="0.984251968503937" right="0.7874015748031497" top="0.984251968503937" bottom="0.7874015748031497" header="0.5118110236220472" footer="0.5118110236220472"/>
  <pageSetup orientation="portrait" paperSize="9" scale="62"/>
  <colBreaks count="1" manualBreakCount="1">
    <brk id="5" min="0" max="51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Kolb</dc:creator>
  <dcterms:created xsi:type="dcterms:W3CDTF">2006-06-14T09:24:31Z</dcterms:created>
  <dcterms:modified xsi:type="dcterms:W3CDTF">2026-05-11T22:30:58Z</dcterms:modified>
  <cp:lastModifiedBy>Dominik Ballentin</cp:lastModifiedBy>
  <cp:lastPrinted>2026-03-27T07:37:55Z</cp:lastPrinted>
</cp:coreProperties>
</file>